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his Week" sheetId="1" state="visible" r:id="rId3"/>
    <sheet name="Results Log" sheetId="2" state="visible" r:id="rId4"/>
    <sheet name="Deadlin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<sst xmlns="http://schemas.openxmlformats.org/spreadsheetml/2006/main" count="122" uniqueCount="116">
  <si>
    <t xml:space="preserve">TYRO — Weekly Status   (FIT5230, Theme 2 Dark)</t>
  </si>
  <si>
    <t xml:space="preserve">HOW TO USE: update this tab once a week, together, in 5 minutes. Fill the yellow cells. The one question that matters is column E — if Nissa is blocked, nothing else on this sheet counts.  ⚠️ This is NOT your M4 log: that one is individual and private. Keep your own.</t>
  </si>
  <si>
    <t xml:space="preserve">Week</t>
  </si>
  <si>
    <t xml:space="preserve">Dates</t>
  </si>
  <si>
    <t xml:space="preserve">Echo — research &amp; strategy</t>
  </si>
  <si>
    <t xml:space="preserve">Nissa — implementation</t>
  </si>
  <si>
    <t xml:space="preserve">⚠️ Blocked on / waiting for</t>
  </si>
  <si>
    <t xml:space="preserve">Closed out?</t>
  </si>
  <si>
    <t xml:space="preserve">W2</t>
  </si>
  <si>
    <t xml:space="preserve">3–9 Aug</t>
  </si>
  <si>
    <t xml:space="preserve">Feasibility smoke test ✅ · plan written ✅ · tutor email sent ✅</t>
  </si>
  <si>
    <t xml:space="preserve">Read the smoke-test notebook end to end</t>
  </si>
  <si>
    <t xml:space="preserve">Yes</t>
  </si>
  <si>
    <t xml:space="preserve">W3</t>
  </si>
  <si>
    <t xml:space="preserve">10–16 Aug</t>
  </si>
  <si>
    <t xml:space="preserve">Read PhotoGuard §3 (encoder attack). Write the 4-cell spec for M1.</t>
  </si>
  <si>
    <t xml:space="preserve">Port PhotoGuard PGD loop to diffusers 0.39. Produce protected.png.</t>
  </si>
  <si>
    <t xml:space="preserve">W4</t>
  </si>
  <si>
    <t xml:space="preserve">17–23 Aug</t>
  </si>
  <si>
    <t xml:space="preserve">Draft M1 Ed post + the Laundromat challenge.</t>
  </si>
  <si>
    <t xml:space="preserve">Cells 3–4: edit protected vs clean (same seed) + JPEG-75 recovery.</t>
  </si>
  <si>
    <t xml:space="preserve">W5</t>
  </si>
  <si>
    <t xml:space="preserve">24–30 Aug</t>
  </si>
  <si>
    <t xml:space="preserve">M1 DUE 28 Aug — post to Ed, Colab link, Moodle PDF.</t>
  </si>
  <si>
    <t xml:space="preserve">Notebook saved WITH outputs showing. Versions pinned.</t>
  </si>
  <si>
    <t xml:space="preserve">W6</t>
  </si>
  <si>
    <t xml:space="preserve">31 Aug–6 Sep</t>
  </si>
  <si>
    <t xml:space="preserve">Read other teams' M1 posts. Leave 2–3 substantive replies.</t>
  </si>
  <si>
    <t xml:space="preserve">Purification sweep harness: JPEG q, blur σ, bit-depth, upscale↔downscale.</t>
  </si>
  <si>
    <t xml:space="preserve">W7</t>
  </si>
  <si>
    <t xml:space="preserve">7–13 Sep</t>
  </si>
  <si>
    <t xml:space="preserve">Decide the 50-image test set + which metrics we report.</t>
  </si>
  <si>
    <t xml:space="preserve">Run the sweep. Write results to CSV as you go.</t>
  </si>
  <si>
    <t xml:space="preserve">W8</t>
  </si>
  <si>
    <t xml:space="preserve">14–20 Sep</t>
  </si>
  <si>
    <t xml:space="preserve">M2 DUE 18 Sep — results, trade-off curve, target declared.</t>
  </si>
  <si>
    <t xml:space="preserve">Base code released + plots.</t>
  </si>
  <si>
    <t xml:space="preserve">W9</t>
  </si>
  <si>
    <t xml:space="preserve">21–27 Sep</t>
  </si>
  <si>
    <t xml:space="preserve">Pick a Light team's defense to attack. Log what they do about it.</t>
  </si>
  <si>
    <t xml:space="preserve">DiffPure: noise at timestep t, denoise with SD.</t>
  </si>
  <si>
    <t xml:space="preserve">W10</t>
  </si>
  <si>
    <t xml:space="preserve">28 Sep–4 Oct</t>
  </si>
  <si>
    <t xml:space="preserve">INDIVIDUAL: FFT analysis → targeted low-pass filter.</t>
  </si>
  <si>
    <t xml:space="preserve">INDIVIDUAL: model-mismatch attack (different VAE).</t>
  </si>
  <si>
    <t xml:space="preserve">W11</t>
  </si>
  <si>
    <t xml:space="preserve">5–11 Oct</t>
  </si>
  <si>
    <t xml:space="preserve">Sketch both M4 demos now (EOT loop + switch-sides defense). 9% lives here.</t>
  </si>
  <si>
    <t xml:space="preserve">Same — your own version, separately.</t>
  </si>
  <si>
    <t xml:space="preserve">W12</t>
  </si>
  <si>
    <t xml:space="preserve">12–18 Oct</t>
  </si>
  <si>
    <t xml:space="preserve">Slides + rehearse to 15:00 with a timer.</t>
  </si>
  <si>
    <t xml:space="preserve">Final Colab tidy: no local paths, versions pinned, outputs saved.</t>
  </si>
  <si>
    <t xml:space="preserve">W13</t>
  </si>
  <si>
    <t xml:space="preserve">19–25 Oct</t>
  </si>
  <si>
    <t xml:space="preserve">M3 DUE 22 Oct — present.</t>
  </si>
  <si>
    <t xml:space="preserve">Final notebook submitted.</t>
  </si>
  <si>
    <t xml:space="preserve">W14</t>
  </si>
  <si>
    <t xml:space="preserve">26 Oct–2 Nov</t>
  </si>
  <si>
    <t xml:space="preserve">M4 DUE 2 Nov — individual report, IEEE template, Overleaf.</t>
  </si>
  <si>
    <t xml:space="preserve">Same — written alone.</t>
  </si>
  <si>
    <t xml:space="preserve">TYRO — Results Log   (one row = one experiment run)</t>
  </si>
  <si>
    <t xml:space="preserve">HOW TO USE: Nissa adds one row every time an experiment produces a number. A result with no seed and no version numbers is an anecdote, not a result — fill those columns or the row is worthless. Row 5 is a worked example: overwrite it or delete it once you have real runs. This tab becomes the M2 results table with almost no rewriting.</t>
  </si>
  <si>
    <t xml:space="preserve">Run ID</t>
  </si>
  <si>
    <t xml:space="preserve">Date</t>
  </si>
  <si>
    <t xml:space="preserve">Who ran it</t>
  </si>
  <si>
    <t xml:space="preserve">Image set</t>
  </si>
  <si>
    <t xml:space="preserve">Defense applied</t>
  </si>
  <si>
    <t xml:space="preserve">Defense ε / strength</t>
  </si>
  <si>
    <t xml:space="preserve">Purification</t>
  </si>
  <si>
    <t xml:space="preserve">Purification setting</t>
  </si>
  <si>
    <t xml:space="preserve">Seed</t>
  </si>
  <si>
    <t xml:space="preserve">torch</t>
  </si>
  <si>
    <t xml:space="preserve">diffusers</t>
  </si>
  <si>
    <t xml:space="preserve">Edit instruction</t>
  </si>
  <si>
    <t xml:space="preserve">CLIP ↑ (edit worked)</t>
  </si>
  <si>
    <t xml:space="preserve">LPIPS ↓ (fidelity)</t>
  </si>
  <si>
    <t xml:space="preserve">PSNR dB ↑</t>
  </si>
  <si>
    <t xml:space="preserve">Verdict / what we learned</t>
  </si>
  <si>
    <t xml:space="preserve">R001</t>
  </si>
  <si>
    <t xml:space="preserve">Nissa</t>
  </si>
  <si>
    <t xml:space="preserve">example.jpg (single)</t>
  </si>
  <si>
    <t xml:space="preserve">PhotoGuard encoder</t>
  </si>
  <si>
    <t xml:space="preserve">8/255</t>
  </si>
  <si>
    <t xml:space="preserve">None</t>
  </si>
  <si>
    <t xml:space="preserve">—</t>
  </si>
  <si>
    <t xml:space="preserve">2.11.0+cu128</t>
  </si>
  <si>
    <t xml:space="preserve">0.39.0</t>
  </si>
  <si>
    <t xml:space="preserve">make it a snowy winter scene</t>
  </si>
  <si>
    <t xml:space="preserve">EXAMPLE ROW — delete me. Defense holds: output is garbled, CLIP collapses vs clean baseline.</t>
  </si>
  <si>
    <t xml:space="preserve">TYRO — Deadlines</t>
  </si>
  <si>
    <t xml:space="preserve">Days left recalculates automatically. Negative means it is behind you.</t>
  </si>
  <si>
    <t xml:space="preserve">Milestone</t>
  </si>
  <si>
    <t xml:space="preserve">What is actually due</t>
  </si>
  <si>
    <t xml:space="preserve">Weight</t>
  </si>
  <si>
    <t xml:space="preserve">Due date</t>
  </si>
  <si>
    <t xml:space="preserve">Days left</t>
  </si>
  <si>
    <t xml:space="preserve">Who owns submission</t>
  </si>
  <si>
    <t xml:space="preserve">Status</t>
  </si>
  <si>
    <t xml:space="preserve">Registration</t>
  </si>
  <si>
    <t xml:space="preserve">Tutor email — team, theme, side</t>
  </si>
  <si>
    <t xml:space="preserve">Echo</t>
  </si>
  <si>
    <t xml:space="preserve">Done</t>
  </si>
  <si>
    <t xml:space="preserve">M1</t>
  </si>
  <si>
    <t xml:space="preserve">Ed post + Colab link + Moodle PDF</t>
  </si>
  <si>
    <t xml:space="preserve">Not started</t>
  </si>
  <si>
    <t xml:space="preserve">M2</t>
  </si>
  <si>
    <t xml:space="preserve">Results, demos, base code, target declared</t>
  </si>
  <si>
    <t xml:space="preserve">Both</t>
  </si>
  <si>
    <t xml:space="preserve">M3</t>
  </si>
  <si>
    <t xml:space="preserve">15-min presentation + final Colab (11% individual)</t>
  </si>
  <si>
    <t xml:space="preserve">M4</t>
  </si>
  <si>
    <t xml:space="preserve">Individual report, IEEE template — written alone</t>
  </si>
  <si>
    <t xml:space="preserve">Each alone</t>
  </si>
  <si>
    <t xml:space="preserve">Total assessed by this project</t>
  </si>
  <si>
    <t xml:space="preserve">Of which assessed on you INDIVIDUALLY, not as a team: 26 of 50 marks. Your contributions must be distinguishable.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</si>
</sst>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 mmm\ yyyy"/>
    <numFmt numFmtId="166" formatCode="ddd\ dd\ mmm\ yyyy"/>
    <numFmt numFmtId="167" formatCode="0"/>
    <numFmt numFmtId="168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80808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C8A"/>
        <bgColor rgb="FF595959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C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3"/>
    <col collapsed="false" customWidth="true" hidden="false" outlineLevel="0" max="4" min="3" style="0" width="40"/>
    <col collapsed="false" customWidth="true" hidden="false" outlineLevel="0" max="5" min="5" style="0" width="28"/>
    <col collapsed="false" customWidth="true" hidden="false" outlineLevel="0" max="6" min="6" style="0" width="11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42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33.75" hidden="false" customHeight="true" outlineLevel="0" collapsed="false">
      <c r="A5" s="4" t="s">
        <v>8</v>
      </c>
      <c r="B5" s="5" t="s">
        <v>9</v>
      </c>
      <c r="C5" s="6" t="s">
        <v>10</v>
      </c>
      <c r="D5" s="6" t="s">
        <v>11</v>
      </c>
      <c r="E5" s="6"/>
      <c r="F5" s="6" t="s">
        <v>12</v>
      </c>
    </row>
    <row r="6" customFormat="false" ht="33.75" hidden="false" customHeight="true" outlineLevel="0" collapsed="false">
      <c r="A6" s="4" t="s">
        <v>13</v>
      </c>
      <c r="B6" s="5" t="s">
        <v>14</v>
      </c>
      <c r="C6" s="6" t="s">
        <v>15</v>
      </c>
      <c r="D6" s="6" t="s">
        <v>16</v>
      </c>
      <c r="E6" s="6"/>
      <c r="F6" s="6"/>
    </row>
    <row r="7" customFormat="false" ht="33.75" hidden="false" customHeight="true" outlineLevel="0" collapsed="false">
      <c r="A7" s="4" t="s">
        <v>17</v>
      </c>
      <c r="B7" s="5" t="s">
        <v>18</v>
      </c>
      <c r="C7" s="6" t="s">
        <v>19</v>
      </c>
      <c r="D7" s="6" t="s">
        <v>20</v>
      </c>
      <c r="E7" s="6"/>
      <c r="F7" s="6"/>
    </row>
    <row r="8" customFormat="false" ht="33.75" hidden="false" customHeight="true" outlineLevel="0" collapsed="false">
      <c r="A8" s="4" t="s">
        <v>21</v>
      </c>
      <c r="B8" s="5" t="s">
        <v>22</v>
      </c>
      <c r="C8" s="6" t="s">
        <v>23</v>
      </c>
      <c r="D8" s="6" t="s">
        <v>24</v>
      </c>
      <c r="E8" s="6"/>
      <c r="F8" s="6"/>
    </row>
    <row r="9" customFormat="false" ht="33.75" hidden="false" customHeight="true" outlineLevel="0" collapsed="false">
      <c r="A9" s="4" t="s">
        <v>25</v>
      </c>
      <c r="B9" s="5" t="s">
        <v>26</v>
      </c>
      <c r="C9" s="6" t="s">
        <v>27</v>
      </c>
      <c r="D9" s="6" t="s">
        <v>28</v>
      </c>
      <c r="E9" s="6"/>
      <c r="F9" s="6"/>
    </row>
    <row r="10" customFormat="false" ht="33.75" hidden="false" customHeight="true" outlineLevel="0" collapsed="false">
      <c r="A10" s="4" t="s">
        <v>29</v>
      </c>
      <c r="B10" s="5" t="s">
        <v>30</v>
      </c>
      <c r="C10" s="6" t="s">
        <v>31</v>
      </c>
      <c r="D10" s="6" t="s">
        <v>32</v>
      </c>
      <c r="E10" s="6"/>
      <c r="F10" s="6"/>
    </row>
    <row r="11" customFormat="false" ht="33.75" hidden="false" customHeight="true" outlineLevel="0" collapsed="false">
      <c r="A11" s="4" t="s">
        <v>33</v>
      </c>
      <c r="B11" s="5" t="s">
        <v>34</v>
      </c>
      <c r="C11" s="6" t="s">
        <v>35</v>
      </c>
      <c r="D11" s="6" t="s">
        <v>36</v>
      </c>
      <c r="E11" s="6"/>
      <c r="F11" s="6"/>
    </row>
    <row r="12" customFormat="false" ht="33.75" hidden="false" customHeight="true" outlineLevel="0" collapsed="false">
      <c r="A12" s="4" t="s">
        <v>37</v>
      </c>
      <c r="B12" s="5" t="s">
        <v>38</v>
      </c>
      <c r="C12" s="6" t="s">
        <v>39</v>
      </c>
      <c r="D12" s="6" t="s">
        <v>40</v>
      </c>
      <c r="E12" s="6"/>
      <c r="F12" s="6"/>
    </row>
    <row r="13" customFormat="false" ht="33.75" hidden="false" customHeight="true" outlineLevel="0" collapsed="false">
      <c r="A13" s="4" t="s">
        <v>41</v>
      </c>
      <c r="B13" s="5" t="s">
        <v>42</v>
      </c>
      <c r="C13" s="6" t="s">
        <v>43</v>
      </c>
      <c r="D13" s="6" t="s">
        <v>44</v>
      </c>
      <c r="E13" s="6"/>
      <c r="F13" s="6"/>
    </row>
    <row r="14" customFormat="false" ht="33.75" hidden="false" customHeight="true" outlineLevel="0" collapsed="false">
      <c r="A14" s="4" t="s">
        <v>45</v>
      </c>
      <c r="B14" s="5" t="s">
        <v>46</v>
      </c>
      <c r="C14" s="6" t="s">
        <v>47</v>
      </c>
      <c r="D14" s="6" t="s">
        <v>48</v>
      </c>
      <c r="E14" s="6"/>
      <c r="F14" s="6"/>
    </row>
    <row r="15" customFormat="false" ht="33.75" hidden="false" customHeight="true" outlineLevel="0" collapsed="false">
      <c r="A15" s="4" t="s">
        <v>49</v>
      </c>
      <c r="B15" s="5" t="s">
        <v>50</v>
      </c>
      <c r="C15" s="6" t="s">
        <v>51</v>
      </c>
      <c r="D15" s="6" t="s">
        <v>52</v>
      </c>
      <c r="E15" s="6"/>
      <c r="F15" s="6"/>
    </row>
    <row r="16" customFormat="false" ht="33.75" hidden="false" customHeight="true" outlineLevel="0" collapsed="false">
      <c r="A16" s="4" t="s">
        <v>53</v>
      </c>
      <c r="B16" s="5" t="s">
        <v>54</v>
      </c>
      <c r="C16" s="6" t="s">
        <v>55</v>
      </c>
      <c r="D16" s="6" t="s">
        <v>56</v>
      </c>
      <c r="E16" s="6"/>
      <c r="F16" s="6"/>
    </row>
    <row r="17" customFormat="false" ht="33.75" hidden="false" customHeight="true" outlineLevel="0" collapsed="false">
      <c r="A17" s="4" t="s">
        <v>57</v>
      </c>
      <c r="B17" s="5" t="s">
        <v>58</v>
      </c>
      <c r="C17" s="6" t="s">
        <v>59</v>
      </c>
      <c r="D17" s="6" t="s">
        <v>60</v>
      </c>
      <c r="E17" s="6"/>
      <c r="F17" s="6"/>
    </row>
  </sheetData>
  <mergeCells count="2">
    <mergeCell ref="A1:F1"/>
    <mergeCell ref="A2:F2"/>
  </mergeCells>
  <dataValidations count="1">
    <dataValidation allowBlank="true" errorStyle="stop" operator="between" showDropDown="false" showErrorMessage="false" showInputMessage="false" sqref="F5:F17" type="list">
      <formula1>"Yes,No,Slipped"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3" min="3" style="0" width="11"/>
    <col collapsed="false" customWidth="true" hidden="false" outlineLevel="0" max="4" min="4" style="0" width="20"/>
    <col collapsed="false" customWidth="true" hidden="false" outlineLevel="0" max="5" min="5" style="0" width="18"/>
    <col collapsed="false" customWidth="true" hidden="false" outlineLevel="0" max="6" min="6" style="0" width="15"/>
    <col collapsed="false" customWidth="true" hidden="false" outlineLevel="0" max="8" min="7" style="0" width="16"/>
    <col collapsed="false" customWidth="true" hidden="false" outlineLevel="0" max="9" min="9" style="0" width="7"/>
    <col collapsed="false" customWidth="true" hidden="false" outlineLevel="0" max="10" min="10" style="0" width="15"/>
    <col collapsed="false" customWidth="true" hidden="false" outlineLevel="0" max="11" min="11" style="0" width="11"/>
    <col collapsed="false" customWidth="true" hidden="false" outlineLevel="0" max="12" min="12" style="0" width="26"/>
    <col collapsed="false" customWidth="true" hidden="false" outlineLevel="0" max="14" min="13" style="0" width="15"/>
    <col collapsed="false" customWidth="true" hidden="false" outlineLevel="0" max="15" min="15" style="0" width="12"/>
    <col collapsed="false" customWidth="true" hidden="false" outlineLevel="0" max="16" min="16" style="0" width="40"/>
  </cols>
  <sheetData>
    <row r="1" customFormat="false" ht="25.5" hidden="false" customHeight="true" outlineLevel="0" collapsed="false">
      <c r="A1" s="1" t="s">
        <v>61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45.75" hidden="false" customHeight="true" outlineLevel="0" collapsed="false">
      <c r="A2" s="2" t="s">
        <v>62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customFormat="false" ht="30" hidden="false" customHeight="true" outlineLevel="0" collapsed="false">
      <c r="A4" s="3" t="s">
        <v>63</v>
      </c>
      <c r="B4" s="3" t="s">
        <v>64</v>
      </c>
      <c r="C4" s="3" t="s">
        <v>65</v>
      </c>
      <c r="D4" s="3" t="s">
        <v>66</v>
      </c>
      <c r="E4" s="3" t="s">
        <v>67</v>
      </c>
      <c r="F4" s="3" t="s">
        <v>68</v>
      </c>
      <c r="G4" s="3" t="s">
        <v>69</v>
      </c>
      <c r="H4" s="3" t="s">
        <v>70</v>
      </c>
      <c r="I4" s="3" t="s">
        <v>71</v>
      </c>
      <c r="J4" s="3" t="s">
        <v>72</v>
      </c>
      <c r="K4" s="3" t="s">
        <v>73</v>
      </c>
      <c r="L4" s="3" t="s">
        <v>74</v>
      </c>
      <c r="M4" s="3" t="s">
        <v>75</v>
      </c>
      <c r="N4" s="3" t="s">
        <v>76</v>
      </c>
      <c r="O4" s="3" t="s">
        <v>77</v>
      </c>
      <c r="P4" s="3" t="s">
        <v>78</v>
      </c>
    </row>
    <row r="5" customFormat="false" ht="33.75" hidden="false" customHeight="true" outlineLevel="0" collapsed="false">
      <c r="A5" s="7" t="s">
        <v>79</v>
      </c>
      <c r="B5" s="8" t="n">
        <v>46254</v>
      </c>
      <c r="C5" s="7" t="s">
        <v>80</v>
      </c>
      <c r="D5" s="7" t="s">
        <v>81</v>
      </c>
      <c r="E5" s="7" t="s">
        <v>82</v>
      </c>
      <c r="F5" s="7" t="s">
        <v>83</v>
      </c>
      <c r="G5" s="7" t="s">
        <v>84</v>
      </c>
      <c r="H5" s="7" t="s">
        <v>85</v>
      </c>
      <c r="I5" s="7" t="n">
        <v>42</v>
      </c>
      <c r="J5" s="7" t="s">
        <v>86</v>
      </c>
      <c r="K5" s="7" t="s">
        <v>87</v>
      </c>
      <c r="L5" s="7" t="s">
        <v>88</v>
      </c>
      <c r="M5" s="7" t="n">
        <v>0.21</v>
      </c>
      <c r="N5" s="7" t="n">
        <v>0.42</v>
      </c>
      <c r="O5" s="7" t="n">
        <v>18.7</v>
      </c>
      <c r="P5" s="7" t="s">
        <v>89</v>
      </c>
    </row>
    <row r="6" customFormat="false" ht="15" hidden="false" customHeight="false" outlineLevel="0" collapsed="false">
      <c r="A6" s="6"/>
      <c r="B6" s="9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customFormat="false" ht="15" hidden="false" customHeight="false" outlineLevel="0" collapsed="false">
      <c r="A7" s="6"/>
      <c r="B7" s="9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customFormat="false" ht="15" hidden="false" customHeight="false" outlineLevel="0" collapsed="false">
      <c r="A8" s="6"/>
      <c r="B8" s="9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customFormat="false" ht="15" hidden="false" customHeight="false" outlineLevel="0" collapsed="false">
      <c r="A9" s="6"/>
      <c r="B9" s="9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 customFormat="false" ht="15" hidden="false" customHeight="false" outlineLevel="0" collapsed="false">
      <c r="A10" s="6"/>
      <c r="B10" s="9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customFormat="false" ht="15" hidden="false" customHeight="false" outlineLevel="0" collapsed="false">
      <c r="A11" s="6"/>
      <c r="B11" s="9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customFormat="false" ht="15" hidden="false" customHeight="false" outlineLevel="0" collapsed="false">
      <c r="A12" s="6"/>
      <c r="B12" s="9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 customFormat="false" ht="15" hidden="false" customHeight="false" outlineLevel="0" collapsed="false">
      <c r="A13" s="6"/>
      <c r="B13" s="9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customFormat="false" ht="15" hidden="false" customHeight="false" outlineLevel="0" collapsed="false">
      <c r="A14" s="6"/>
      <c r="B14" s="9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customFormat="false" ht="15" hidden="false" customHeight="false" outlineLevel="0" collapsed="false">
      <c r="A15" s="6"/>
      <c r="B15" s="9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</row>
    <row r="16" customFormat="false" ht="15" hidden="false" customHeight="false" outlineLevel="0" collapsed="false">
      <c r="A16" s="6"/>
      <c r="B16" s="9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 customFormat="false" ht="15" hidden="false" customHeight="false" outlineLevel="0" collapsed="false">
      <c r="A17" s="6"/>
      <c r="B17" s="9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customFormat="false" ht="15" hidden="false" customHeight="false" outlineLevel="0" collapsed="false">
      <c r="A18" s="6"/>
      <c r="B18" s="9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customFormat="false" ht="15" hidden="false" customHeight="false" outlineLevel="0" collapsed="false">
      <c r="A19" s="6"/>
      <c r="B19" s="9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</row>
    <row r="20" customFormat="false" ht="15" hidden="false" customHeight="false" outlineLevel="0" collapsed="false">
      <c r="A20" s="6"/>
      <c r="B20" s="9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</row>
    <row r="21" customFormat="false" ht="15" hidden="false" customHeight="false" outlineLevel="0" collapsed="false">
      <c r="A21" s="6"/>
      <c r="B21" s="9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customFormat="false" ht="15" hidden="false" customHeight="false" outlineLevel="0" collapsed="false">
      <c r="A22" s="6"/>
      <c r="B22" s="9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  <row r="23" customFormat="false" ht="15" hidden="false" customHeight="false" outlineLevel="0" collapsed="false">
      <c r="A23" s="6"/>
      <c r="B23" s="9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</row>
    <row r="24" customFormat="false" ht="15" hidden="false" customHeight="false" outlineLevel="0" collapsed="false">
      <c r="A24" s="6"/>
      <c r="B24" s="9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</row>
    <row r="25" customFormat="false" ht="15" hidden="false" customHeight="false" outlineLevel="0" collapsed="false">
      <c r="A25" s="6"/>
      <c r="B25" s="9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 customFormat="false" ht="15" hidden="false" customHeight="false" outlineLevel="0" collapsed="false">
      <c r="A26" s="6"/>
      <c r="B26" s="9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</row>
    <row r="27" customFormat="false" ht="15" hidden="false" customHeight="false" outlineLevel="0" collapsed="false">
      <c r="A27" s="6"/>
      <c r="B27" s="9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</row>
    <row r="28" customFormat="false" ht="15" hidden="false" customHeight="false" outlineLevel="0" collapsed="false">
      <c r="A28" s="6"/>
      <c r="B28" s="9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</row>
    <row r="29" customFormat="false" ht="15" hidden="false" customHeight="false" outlineLevel="0" collapsed="false">
      <c r="A29" s="6"/>
      <c r="B29" s="9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</row>
    <row r="30" customFormat="false" ht="15" hidden="false" customHeight="false" outlineLevel="0" collapsed="false">
      <c r="A30" s="6"/>
      <c r="B30" s="9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</row>
    <row r="31" customFormat="false" ht="15" hidden="false" customHeight="false" outlineLevel="0" collapsed="false">
      <c r="A31" s="6"/>
      <c r="B31" s="9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</row>
    <row r="32" customFormat="false" ht="15" hidden="false" customHeight="false" outlineLevel="0" collapsed="false">
      <c r="A32" s="6"/>
      <c r="B32" s="9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</row>
    <row r="33" customFormat="false" ht="15" hidden="false" customHeight="false" outlineLevel="0" collapsed="false">
      <c r="A33" s="6"/>
      <c r="B33" s="9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</row>
    <row r="34" customFormat="false" ht="15" hidden="false" customHeight="false" outlineLevel="0" collapsed="false">
      <c r="A34" s="6"/>
      <c r="B34" s="9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</row>
    <row r="35" customFormat="false" ht="15" hidden="false" customHeight="false" outlineLevel="0" collapsed="false">
      <c r="A35" s="6"/>
      <c r="B35" s="9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</row>
    <row r="36" customFormat="false" ht="15" hidden="false" customHeight="false" outlineLevel="0" collapsed="false">
      <c r="A36" s="6"/>
      <c r="B36" s="9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</row>
    <row r="37" customFormat="false" ht="15" hidden="false" customHeight="false" outlineLevel="0" collapsed="false">
      <c r="A37" s="6"/>
      <c r="B37" s="9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</row>
    <row r="38" customFormat="false" ht="15" hidden="false" customHeight="false" outlineLevel="0" collapsed="false">
      <c r="A38" s="6"/>
      <c r="B38" s="9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</row>
    <row r="39" customFormat="false" ht="15" hidden="false" customHeight="false" outlineLevel="0" collapsed="false">
      <c r="A39" s="6"/>
      <c r="B39" s="9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</row>
    <row r="40" customFormat="false" ht="15" hidden="false" customHeight="false" outlineLevel="0" collapsed="false">
      <c r="A40" s="6"/>
      <c r="B40" s="9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</row>
    <row r="41" customFormat="false" ht="15" hidden="false" customHeight="false" outlineLevel="0" collapsed="false">
      <c r="A41" s="6"/>
      <c r="B41" s="9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</row>
    <row r="42" customFormat="false" ht="15" hidden="false" customHeight="false" outlineLevel="0" collapsed="false">
      <c r="A42" s="6"/>
      <c r="B42" s="9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</row>
    <row r="43" customFormat="false" ht="15" hidden="false" customHeight="false" outlineLevel="0" collapsed="false">
      <c r="A43" s="6"/>
      <c r="B43" s="9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</row>
    <row r="44" customFormat="false" ht="15" hidden="false" customHeight="false" outlineLevel="0" collapsed="false">
      <c r="A44" s="6"/>
      <c r="B44" s="9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</row>
    <row r="45" customFormat="false" ht="15" hidden="false" customHeight="false" outlineLevel="0" collapsed="false">
      <c r="A45" s="6"/>
      <c r="B45" s="9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</row>
  </sheetData>
  <mergeCells count="2">
    <mergeCell ref="A1:P1"/>
    <mergeCell ref="A2:P2"/>
  </mergeCells>
  <dataValidations count="2">
    <dataValidation allowBlank="true" errorStyle="stop" operator="between" showDropDown="false" showErrorMessage="false" showInputMessage="false" sqref="E5:E45" type="list">
      <formula1>"None,PhotoGuard encoder,PhotoGuard diffusion,Glaze,Mist,Other"</formula1>
      <formula2>0</formula2>
    </dataValidation>
    <dataValidation allowBlank="true" errorStyle="stop" operator="between" showDropDown="false" showErrorMessage="false" showInputMessage="false" sqref="G5:G45" type="list">
      <formula1>"None,JPEG,Gaussian blur,Bit-depth reduce,Upscale-downscale,Low-pass FFT,DiffPure"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6"/>
    <col collapsed="false" customWidth="true" hidden="false" outlineLevel="0" max="3" min="3" style="0" width="9"/>
    <col collapsed="false" customWidth="true" hidden="false" outlineLevel="0" max="4" min="4" style="0" width="20"/>
    <col collapsed="false" customWidth="true" hidden="false" outlineLevel="0" max="5" min="5" style="0" width="11"/>
    <col collapsed="false" customWidth="true" hidden="false" outlineLevel="0" max="6" min="6" style="0" width="18"/>
    <col collapsed="false" customWidth="true" hidden="false" outlineLevel="0" max="7" min="7" style="0" width="14"/>
  </cols>
  <sheetData>
    <row r="1" customFormat="false" ht="25.5" hidden="false" customHeight="true" outlineLevel="0" collapsed="false">
      <c r="A1" s="1" t="s">
        <v>90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10" t="s">
        <v>91</v>
      </c>
      <c r="B2" s="10"/>
      <c r="C2" s="10"/>
      <c r="D2" s="10"/>
      <c r="E2" s="10"/>
      <c r="F2" s="10"/>
      <c r="G2" s="10"/>
    </row>
    <row r="4" customFormat="false" ht="30" hidden="false" customHeight="true" outlineLevel="0" collapsed="false">
      <c r="A4" s="3" t="s">
        <v>92</v>
      </c>
      <c r="B4" s="3" t="s">
        <v>93</v>
      </c>
      <c r="C4" s="3" t="s">
        <v>94</v>
      </c>
      <c r="D4" s="3" t="s">
        <v>95</v>
      </c>
      <c r="E4" s="3" t="s">
        <v>96</v>
      </c>
      <c r="F4" s="3" t="s">
        <v>97</v>
      </c>
      <c r="G4" s="3" t="s">
        <v>98</v>
      </c>
    </row>
    <row r="5" customFormat="false" ht="30" hidden="false" customHeight="true" outlineLevel="0" collapsed="false">
      <c r="A5" s="4" t="s">
        <v>99</v>
      </c>
      <c r="B5" s="5" t="s">
        <v>100</v>
      </c>
      <c r="C5" s="5" t="s">
        <v>85</v>
      </c>
      <c r="D5" s="11" t="n">
        <v>46255</v>
      </c>
      <c r="E5" s="12" t="n">
        <f aca="true">D5-TODAY()</f>
        <v>14</v>
      </c>
      <c r="F5" s="5" t="s">
        <v>101</v>
      </c>
      <c r="G5" s="6" t="s">
        <v>102</v>
      </c>
    </row>
    <row r="6" customFormat="false" ht="30" hidden="false" customHeight="true" outlineLevel="0" collapsed="false">
      <c r="A6" s="4" t="s">
        <v>103</v>
      </c>
      <c r="B6" s="5" t="s">
        <v>104</v>
      </c>
      <c r="C6" s="13" t="n">
        <v>0.02</v>
      </c>
      <c r="D6" s="11" t="n">
        <v>46262</v>
      </c>
      <c r="E6" s="12" t="n">
        <f aca="true">D6-TODAY()</f>
        <v>21</v>
      </c>
      <c r="F6" s="5" t="s">
        <v>101</v>
      </c>
      <c r="G6" s="6" t="s">
        <v>105</v>
      </c>
    </row>
    <row r="7" customFormat="false" ht="30" hidden="false" customHeight="true" outlineLevel="0" collapsed="false">
      <c r="A7" s="4" t="s">
        <v>106</v>
      </c>
      <c r="B7" s="5" t="s">
        <v>107</v>
      </c>
      <c r="C7" s="13" t="n">
        <v>0.08</v>
      </c>
      <c r="D7" s="11" t="n">
        <v>46283</v>
      </c>
      <c r="E7" s="12" t="n">
        <f aca="true">D7-TODAY()</f>
        <v>42</v>
      </c>
      <c r="F7" s="5" t="s">
        <v>108</v>
      </c>
      <c r="G7" s="6" t="s">
        <v>105</v>
      </c>
    </row>
    <row r="8" customFormat="false" ht="30" hidden="false" customHeight="true" outlineLevel="0" collapsed="false">
      <c r="A8" s="4" t="s">
        <v>109</v>
      </c>
      <c r="B8" s="5" t="s">
        <v>110</v>
      </c>
      <c r="C8" s="13" t="n">
        <v>0.25</v>
      </c>
      <c r="D8" s="11" t="n">
        <v>46317</v>
      </c>
      <c r="E8" s="12" t="n">
        <f aca="true">D8-TODAY()</f>
        <v>76</v>
      </c>
      <c r="F8" s="5" t="s">
        <v>108</v>
      </c>
      <c r="G8" s="6" t="s">
        <v>105</v>
      </c>
    </row>
    <row r="9" customFormat="false" ht="30" hidden="false" customHeight="true" outlineLevel="0" collapsed="false">
      <c r="A9" s="4" t="s">
        <v>111</v>
      </c>
      <c r="B9" s="5" t="s">
        <v>112</v>
      </c>
      <c r="C9" s="13" t="n">
        <v>0.15</v>
      </c>
      <c r="D9" s="11" t="n">
        <v>46328</v>
      </c>
      <c r="E9" s="12" t="n">
        <f aca="true">D9-TODAY()</f>
        <v>87</v>
      </c>
      <c r="F9" s="5" t="s">
        <v>113</v>
      </c>
      <c r="G9" s="6" t="s">
        <v>105</v>
      </c>
    </row>
    <row r="11" customFormat="false" ht="15" hidden="false" customHeight="false" outlineLevel="0" collapsed="false">
      <c r="A11" s="14" t="s">
        <v>114</v>
      </c>
      <c r="C11" s="15" t="n">
        <f aca="false">SUM(C6:C9)</f>
        <v>0.5</v>
      </c>
    </row>
    <row r="12" customFormat="false" ht="15" hidden="false" customHeight="false" outlineLevel="0" collapsed="false">
      <c r="A12" s="10" t="s">
        <v>115</v>
      </c>
      <c r="B12" s="10"/>
      <c r="C12" s="10"/>
      <c r="D12" s="10"/>
      <c r="E12" s="10"/>
      <c r="F12" s="10"/>
      <c r="G12" s="10"/>
    </row>
  </sheetData>
  <mergeCells count="3">
    <mergeCell ref="A1:G1"/>
    <mergeCell ref="A2:G2"/>
    <mergeCell ref="A12:G12"/>
  </mergeCells>
  <dataValidations count="1">
    <dataValidation allowBlank="true" errorStyle="stop" operator="between" showDropDown="false" showErrorMessage="false" showInputMessage="false" sqref="G5:G9" type="list">
      <formula1>"Not started,In progress,Submitted,Done"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2026-08-07T11:49:54Z</dcterms:created>
  <dc:creator>openpyxl</dc:creator>
  <dc:description/>
  <dc:language>en-US</dc:language>
  <cp:lastModifiedBy/>
  <dcterms:modified xsi:type="dcterms:W3CDTF">2026-08-07T11:49:54Z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